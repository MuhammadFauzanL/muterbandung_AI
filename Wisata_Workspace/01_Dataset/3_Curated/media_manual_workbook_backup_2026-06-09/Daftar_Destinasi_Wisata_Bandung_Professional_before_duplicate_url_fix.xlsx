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tatistik" sheetId="1" state="visible" r:id="rId1"/>
    <sheet xmlns:r="http://schemas.openxmlformats.org/officeDocument/2006/relationships" name="Daftar Destinasi Wis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F31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1A5276"/>
      <sz val="10"/>
      <u val="single"/>
    </font>
    <font>
      <name val="Segoe UI"/>
      <sz val="10"/>
    </font>
    <font>
      <name val="Segoe UI"/>
      <color rgb="00444444"/>
      <sz val="9"/>
    </font>
    <font>
      <name val="Segoe UI"/>
      <b val="1"/>
      <color rgb="001E3F31"/>
      <sz val="18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2E5B49"/>
        <bgColor rgb="002E5B49"/>
      </patternFill>
    </fill>
    <fill>
      <patternFill patternType="solid">
        <fgColor rgb="00FFFFFF"/>
        <bgColor rgb="00FFFFFF"/>
      </patternFill>
    </fill>
    <fill>
      <patternFill patternType="solid">
        <fgColor rgb="00F4F7F5"/>
        <bgColor rgb="00F4F7F5"/>
      </patternFill>
    </fill>
    <fill>
      <patternFill patternType="solid">
        <fgColor rgb="00EAF2EE"/>
        <bgColor rgb="00EAF2E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Frekuensi Kategori Destinasi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&amp; Statistik'!C11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Statistik'!$B$12:$B$24</f>
            </numRef>
          </cat>
          <val>
            <numRef>
              <f>'Dashboard &amp; Statistik'!$C$12:$C$24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Tempat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Kategori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Data Analytics &amp; Ringkasan Wisata Bandung</t>
        </is>
      </c>
    </row>
    <row r="3">
      <c r="B3" s="2" t="inlineStr">
        <is>
          <t>Informasi matriks utama dan persebaran kategori destinasi wisata</t>
        </is>
      </c>
    </row>
    <row r="5">
      <c r="B5" s="3" t="inlineStr">
        <is>
          <t>Total Destinasi</t>
        </is>
      </c>
      <c r="C5" s="4" t="n"/>
      <c r="D5" s="3" t="inlineStr">
        <is>
          <t>Prioritas 1 (Utama)</t>
        </is>
      </c>
      <c r="E5" s="4" t="n"/>
      <c r="F5" s="3" t="inlineStr">
        <is>
          <t>Prioritas 2 (Medium)</t>
        </is>
      </c>
      <c r="G5" s="4" t="n"/>
      <c r="H5" s="3" t="inlineStr">
        <is>
          <t>Prioritas 3 (Rendah)</t>
        </is>
      </c>
      <c r="I5" s="4" t="n"/>
    </row>
    <row r="6">
      <c r="B6" s="5">
        <f>COUNTA('Daftar Destinasi Wisata'!C6:C44)</f>
        <v/>
      </c>
      <c r="C6" s="4" t="n"/>
      <c r="D6" s="5">
        <f>COUNTIF('Daftar Destinasi Wisata'!B6:B44, 1)</f>
        <v/>
      </c>
      <c r="E6" s="4" t="n"/>
      <c r="F6" s="5">
        <f>COUNTIF('Daftar Destinasi Wisata'!B6:B44, 2)</f>
        <v/>
      </c>
      <c r="G6" s="4" t="n"/>
      <c r="H6" s="5">
        <f>COUNTIF('Daftar Destinasi Wisata'!B6:B44, 3)</f>
        <v/>
      </c>
      <c r="I6" s="4" t="n"/>
    </row>
    <row r="9">
      <c r="B9" s="6" t="inlineStr">
        <is>
          <t>Analisis Berdasarkan Kategori</t>
        </is>
      </c>
    </row>
    <row r="11">
      <c r="B11" s="7" t="inlineStr">
        <is>
          <t>Kategori</t>
        </is>
      </c>
      <c r="C11" s="8" t="inlineStr">
        <is>
          <t>Jumlah</t>
        </is>
      </c>
    </row>
    <row r="12">
      <c r="B12" s="9" t="inlineStr">
        <is>
          <t>Desa Wisata</t>
        </is>
      </c>
      <c r="C12" s="10">
        <f>COUNTIF('Daftar Destinasi Wisata'!E6:E44, "Desa Wisata")</f>
        <v/>
      </c>
    </row>
    <row r="13">
      <c r="B13" s="9" t="inlineStr">
        <is>
          <t>Penginapan Wisata</t>
        </is>
      </c>
      <c r="C13" s="10">
        <f>COUNTIF('Daftar Destinasi Wisata'!E6:E44, "Penginapan Wisata")</f>
        <v/>
      </c>
    </row>
    <row r="14">
      <c r="B14" s="9" t="inlineStr">
        <is>
          <t>Rekreasi Keluarga</t>
        </is>
      </c>
      <c r="C14" s="10">
        <f>COUNTIF('Daftar Destinasi Wisata'!E6:E44, "Rekreasi Keluarga")</f>
        <v/>
      </c>
    </row>
    <row r="15">
      <c r="B15" s="9" t="inlineStr">
        <is>
          <t>Taman Kota</t>
        </is>
      </c>
      <c r="C15" s="10">
        <f>COUNTIF('Daftar Destinasi Wisata'!E6:E44, "Taman Kota")</f>
        <v/>
      </c>
    </row>
    <row r="16">
      <c r="B16" s="9" t="inlineStr">
        <is>
          <t>Tempat Belajar</t>
        </is>
      </c>
      <c r="C16" s="10">
        <f>COUNTIF('Daftar Destinasi Wisata'!E6:E44, "Tempat Belajar")</f>
        <v/>
      </c>
    </row>
    <row r="17">
      <c r="B17" s="9" t="inlineStr">
        <is>
          <t>Tempat Belanja</t>
        </is>
      </c>
      <c r="C17" s="10">
        <f>COUNTIF('Daftar Destinasi Wisata'!E6:E44, "Tempat Belanja")</f>
        <v/>
      </c>
    </row>
    <row r="18">
      <c r="B18" s="9" t="inlineStr">
        <is>
          <t>Tempat Camping</t>
        </is>
      </c>
      <c r="C18" s="10">
        <f>COUNTIF('Daftar Destinasi Wisata'!E6:E44, "Tempat Camping")</f>
        <v/>
      </c>
    </row>
    <row r="19">
      <c r="B19" s="9" t="inlineStr">
        <is>
          <t>Tempat Kuliner</t>
        </is>
      </c>
      <c r="C19" s="10">
        <f>COUNTIF('Daftar Destinasi Wisata'!E6:E44, "Tempat Kuliner")</f>
        <v/>
      </c>
    </row>
    <row r="20">
      <c r="B20" s="9" t="inlineStr">
        <is>
          <t>Tempat Seni</t>
        </is>
      </c>
      <c r="C20" s="10">
        <f>COUNTIF('Daftar Destinasi Wisata'!E6:E44, "Tempat Seni")</f>
        <v/>
      </c>
    </row>
    <row r="21">
      <c r="B21" s="9" t="inlineStr">
        <is>
          <t>Wahana Air</t>
        </is>
      </c>
      <c r="C21" s="10">
        <f>COUNTIF('Daftar Destinasi Wisata'!E6:E44, "Wahana Air")</f>
        <v/>
      </c>
    </row>
    <row r="22">
      <c r="B22" s="9" t="inlineStr">
        <is>
          <t>Wisata Alam</t>
        </is>
      </c>
      <c r="C22" s="10">
        <f>COUNTIF('Daftar Destinasi Wisata'!E6:E44, "Wisata Alam")</f>
        <v/>
      </c>
    </row>
    <row r="23">
      <c r="B23" s="9" t="inlineStr">
        <is>
          <t>Wisata Petualangan</t>
        </is>
      </c>
      <c r="C23" s="10">
        <f>COUNTIF('Daftar Destinasi Wisata'!E6:E44, "Wisata Petualangan")</f>
        <v/>
      </c>
    </row>
    <row r="24">
      <c r="B24" s="9" t="inlineStr">
        <is>
          <t>Wisata Satwa</t>
        </is>
      </c>
      <c r="C24" s="10">
        <f>COUNTIF('Daftar Destinasi Wisata'!E6:E44, "Wisata Satwa")</f>
        <v/>
      </c>
    </row>
    <row r="25">
      <c r="B25" s="11" t="inlineStr">
        <is>
          <t>Total Keseluruhan</t>
        </is>
      </c>
      <c r="C25" s="12">
        <f>SUM(C12:C24)</f>
        <v/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4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45" customWidth="1" min="4" max="4"/>
    <col width="23" customWidth="1" min="5" max="5"/>
    <col width="23" customWidth="1" min="6" max="6"/>
  </cols>
  <sheetData>
    <row r="2">
      <c r="B2" s="1" t="inlineStr">
        <is>
          <t>Daftar Referensi Lokasi &amp; Foto Wisata Bandung</t>
        </is>
      </c>
    </row>
    <row r="3">
      <c r="B3" s="2" t="inlineStr">
        <is>
          <t>Koleksi data destinasi lengkap berdasarkan prioritas dan kategori kunjungan</t>
        </is>
      </c>
    </row>
    <row r="5" ht="26" customHeight="1">
      <c r="B5" s="8" t="inlineStr">
        <is>
          <t>Prioritas</t>
        </is>
      </c>
      <c r="C5" s="8" t="inlineStr">
        <is>
          <t>ID Lokasi</t>
        </is>
      </c>
      <c r="D5" s="8" t="inlineStr">
        <is>
          <t>Nama Tempat Wisata</t>
        </is>
      </c>
      <c r="E5" s="8" t="inlineStr">
        <is>
          <t>Kategori Destinasi</t>
        </is>
      </c>
      <c r="F5" s="8" t="inlineStr">
        <is>
          <t>Link Foto / Visual</t>
        </is>
      </c>
    </row>
    <row r="6" ht="20" customHeight="1">
      <c r="B6" s="13" t="n">
        <v>1</v>
      </c>
      <c r="C6" s="13" t="inlineStr">
        <is>
          <t>LOC-017</t>
        </is>
      </c>
      <c r="D6" s="14" t="inlineStr">
        <is>
          <t>Cihampelas Walk</t>
        </is>
      </c>
      <c r="E6" s="14" t="inlineStr">
        <is>
          <t>Tempat Belanja</t>
        </is>
      </c>
      <c r="F6" s="15">
        <f>HYPERLINK("https://images.unsplash.com/photo-1567401893414-76b7b1e5a7a5?w=800&amp;q=80", "Lihat Foto ↗")</f>
        <v/>
      </c>
    </row>
    <row r="7" ht="20" customHeight="1">
      <c r="B7" s="16" t="n">
        <v>1</v>
      </c>
      <c r="C7" s="16" t="inlineStr">
        <is>
          <t>LOC-120</t>
        </is>
      </c>
      <c r="D7" s="17" t="inlineStr">
        <is>
          <t>Rumah Guguk</t>
        </is>
      </c>
      <c r="E7" s="17" t="inlineStr">
        <is>
          <t>Wisata Satwa</t>
        </is>
      </c>
      <c r="F7" s="18">
        <f>HYPERLINK("https://images.unsplash.com/photo-1548199973-03cce0bbc87b?w=800&amp;q=80", "Lihat Foto ↗")</f>
        <v/>
      </c>
    </row>
    <row r="8" ht="20" customHeight="1">
      <c r="B8" s="13" t="n">
        <v>1</v>
      </c>
      <c r="C8" s="13" t="inlineStr">
        <is>
          <t>LOC-121</t>
        </is>
      </c>
      <c r="D8" s="14" t="inlineStr">
        <is>
          <t>NuArt Sculpture Park</t>
        </is>
      </c>
      <c r="E8" s="14" t="inlineStr">
        <is>
          <t>Tempat Seni</t>
        </is>
      </c>
      <c r="F8" s="15">
        <f>HYPERLINK("https://images.unsplash.com/photo-1579783900882-c0d3dad7b119?w=800&amp;q=80", "Lihat Foto ↗")</f>
        <v/>
      </c>
    </row>
    <row r="9" ht="20" customHeight="1">
      <c r="B9" s="16" t="n">
        <v>1</v>
      </c>
      <c r="C9" s="16" t="inlineStr">
        <is>
          <t>LOC-133</t>
        </is>
      </c>
      <c r="D9" s="17" t="inlineStr">
        <is>
          <t>Punclut Bandung (Puncak Ciumbuleuit)</t>
        </is>
      </c>
      <c r="E9" s="17" t="inlineStr">
        <is>
          <t>Wisata Alam</t>
        </is>
      </c>
      <c r="F9" s="18">
        <f>HYPERLINK("https://images.unsplash.com/photo-1501785888041-af3ef285b470?w=800&amp;q=80", "Lihat Foto ↗")</f>
        <v/>
      </c>
    </row>
    <row r="10" ht="20" customHeight="1">
      <c r="B10" s="13" t="n">
        <v>1</v>
      </c>
      <c r="C10" s="13" t="inlineStr">
        <is>
          <t>LOC-134</t>
        </is>
      </c>
      <c r="D10" s="14" t="inlineStr">
        <is>
          <t>Bukit Bintang Bandung (Patahan Lembang)</t>
        </is>
      </c>
      <c r="E10" s="14" t="inlineStr">
        <is>
          <t>Wisata Alam</t>
        </is>
      </c>
      <c r="F10" s="15">
        <f>HYPERLINK("https://images.unsplash.com/photo-1475274047050-1d0c0975c63e?w=800&amp;q=80", "Lihat Foto ↗")</f>
        <v/>
      </c>
    </row>
    <row r="11" ht="20" customHeight="1">
      <c r="B11" s="16" t="n">
        <v>1</v>
      </c>
      <c r="C11" s="16" t="inlineStr">
        <is>
          <t>LOC-148</t>
        </is>
      </c>
      <c r="D11" s="17" t="inlineStr">
        <is>
          <t>Pesona Nirwana Waterpark</t>
        </is>
      </c>
      <c r="E11" s="17" t="inlineStr">
        <is>
          <t>Wahana Air</t>
        </is>
      </c>
      <c r="F11" s="18">
        <f>HYPERLINK("https://images.unsplash.com/photo-1519817650390-64a93db51149?w=800&amp;q=80", "Lihat Foto ↗")</f>
        <v/>
      </c>
    </row>
    <row r="12" ht="20" customHeight="1">
      <c r="B12" s="13" t="n">
        <v>1</v>
      </c>
      <c r="C12" s="13" t="inlineStr">
        <is>
          <t>LOC-173</t>
        </is>
      </c>
      <c r="D12" s="14" t="inlineStr">
        <is>
          <t>Cakrawala Nature Sparkling Restaurant</t>
        </is>
      </c>
      <c r="E12" s="14" t="inlineStr">
        <is>
          <t>Tempat Kuliner</t>
        </is>
      </c>
      <c r="F12" s="15">
        <f>HYPERLINK("https://images.unsplash.com/photo-1517248135467-4c7edcad34c4?w=800&amp;q=80", "Lihat Foto ↗")</f>
        <v/>
      </c>
    </row>
    <row r="13" ht="20" customHeight="1">
      <c r="B13" s="16" t="n">
        <v>1</v>
      </c>
      <c r="C13" s="16" t="inlineStr">
        <is>
          <t>LOC-174</t>
        </is>
      </c>
      <c r="D13" s="17" t="inlineStr">
        <is>
          <t>Lereng Anteng Panoramic Coffee</t>
        </is>
      </c>
      <c r="E13" s="17" t="inlineStr">
        <is>
          <t>Tempat Kuliner</t>
        </is>
      </c>
      <c r="F13" s="18">
        <f>HYPERLINK("https://images.unsplash.com/photo-1554118811-1e0d58224f24?w=800&amp;q=80", "Lihat Foto ↗")</f>
        <v/>
      </c>
    </row>
    <row r="14" ht="20" customHeight="1">
      <c r="B14" s="13" t="n">
        <v>1</v>
      </c>
      <c r="C14" s="13" t="inlineStr">
        <is>
          <t>LOC-177</t>
        </is>
      </c>
      <c r="D14" s="14" t="inlineStr">
        <is>
          <t>Wahoo Waterworld</t>
        </is>
      </c>
      <c r="E14" s="14" t="inlineStr">
        <is>
          <t>Wahana Air</t>
        </is>
      </c>
      <c r="F14" s="15">
        <f>HYPERLINK("https://images.unsplash.com/photo-1583417319070-4a69db38a482?w=800&amp;q=80", "Lihat Foto ↗")</f>
        <v/>
      </c>
    </row>
    <row r="15" ht="20" customHeight="1">
      <c r="B15" s="16" t="n">
        <v>1</v>
      </c>
      <c r="C15" s="16" t="inlineStr">
        <is>
          <t>LOC-178</t>
        </is>
      </c>
      <c r="D15" s="17" t="inlineStr">
        <is>
          <t>De'Ranch Lembang</t>
        </is>
      </c>
      <c r="E15" s="17" t="inlineStr">
        <is>
          <t>Wisata Satwa</t>
        </is>
      </c>
      <c r="F15" s="18">
        <f>HYPERLINK("https://images.unsplash.com/photo-1553284965-83fd3e82fa52?w=800&amp;q=80", "Lihat Foto ↗")</f>
        <v/>
      </c>
    </row>
    <row r="16" ht="20" customHeight="1">
      <c r="B16" s="13" t="n">
        <v>1</v>
      </c>
      <c r="C16" s="13" t="inlineStr">
        <is>
          <t>LOC-180</t>
        </is>
      </c>
      <c r="D16" s="14" t="inlineStr">
        <is>
          <t>Cimory Dairyland Lembang</t>
        </is>
      </c>
      <c r="E16" s="14" t="inlineStr">
        <is>
          <t>Wisata Satwa</t>
        </is>
      </c>
      <c r="F16" s="15">
        <f>HYPERLINK("https://images.unsplash.com/photo-1570042225831-d98fa7577f1e?w=800&amp;q=80", "Lihat Foto ↗")</f>
        <v/>
      </c>
    </row>
    <row r="17" ht="20" customHeight="1">
      <c r="B17" s="16" t="n">
        <v>1</v>
      </c>
      <c r="C17" s="16" t="inlineStr">
        <is>
          <t>LOC-181</t>
        </is>
      </c>
      <c r="D17" s="17" t="inlineStr">
        <is>
          <t>Noah's Park Lembang</t>
        </is>
      </c>
      <c r="E17" s="17" t="inlineStr">
        <is>
          <t>Rekreasi Keluarga</t>
        </is>
      </c>
      <c r="F17" s="18">
        <f>HYPERLINK("https://images.unsplash.com/photo-1566415712160-b51317ded491?w=800&amp;q=80", "Lihat Foto ↗")</f>
        <v/>
      </c>
    </row>
    <row r="18" ht="20" customHeight="1">
      <c r="B18" s="13" t="n">
        <v>1</v>
      </c>
      <c r="C18" s="13" t="inlineStr">
        <is>
          <t>LOC-220</t>
        </is>
      </c>
      <c r="D18" s="14" t="inlineStr">
        <is>
          <t>Nimo Jungle Hot Spring</t>
        </is>
      </c>
      <c r="E18" s="14" t="inlineStr">
        <is>
          <t>Wisata Alam</t>
        </is>
      </c>
      <c r="F18" s="15">
        <f>HYPERLINK("https://images.unsplash.com/photo-1540555700478-4be289fbecef?w=800&amp;q=80", "Lihat Foto ↗")</f>
        <v/>
      </c>
    </row>
    <row r="19" ht="20" customHeight="1">
      <c r="B19" s="16" t="n">
        <v>2</v>
      </c>
      <c r="C19" s="16" t="inlineStr">
        <is>
          <t>LOC-135</t>
        </is>
      </c>
      <c r="D19" s="17" t="inlineStr">
        <is>
          <t>Taman Main Mili-Mili &amp; Hutan Mycelia</t>
        </is>
      </c>
      <c r="E19" s="17" t="inlineStr">
        <is>
          <t>Rekreasi Keluarga</t>
        </is>
      </c>
      <c r="F19" s="18">
        <f>HYPERLINK("https://images.unsplash.com/photo-1448375240586-882707db888b?w=800&amp;q=80", "Lihat Foto ↗")</f>
        <v/>
      </c>
    </row>
    <row r="20" ht="20" customHeight="1">
      <c r="B20" s="13" t="n">
        <v>2</v>
      </c>
      <c r="C20" s="13" t="inlineStr">
        <is>
          <t>LOC-139</t>
        </is>
      </c>
      <c r="D20" s="14" t="inlineStr">
        <is>
          <t>Kawah Rengganis Ciwidey</t>
        </is>
      </c>
      <c r="E20" s="14" t="inlineStr">
        <is>
          <t>Wisata Alam</t>
        </is>
      </c>
      <c r="F20" s="15">
        <f>HYPERLINK("https://images.unsplash.com/photo-1464822759023-fed622ff2c3b?w=800&amp;q=80", "Lihat Foto ↗")</f>
        <v/>
      </c>
    </row>
    <row r="21" ht="20" customHeight="1">
      <c r="B21" s="16" t="n">
        <v>2</v>
      </c>
      <c r="C21" s="16" t="inlineStr">
        <is>
          <t>LOC-149</t>
        </is>
      </c>
      <c r="D21" s="17" t="inlineStr">
        <is>
          <t>Taman Wisata Alam Cimanggu</t>
        </is>
      </c>
      <c r="E21" s="17" t="inlineStr">
        <is>
          <t>Wisata Alam</t>
        </is>
      </c>
      <c r="F21" s="18">
        <f>HYPERLINK("https://images.unsplash.com/photo-1473448912268-2022ce9509d8?w=800&amp;q=80", "Lihat Foto ↗")</f>
        <v/>
      </c>
    </row>
    <row r="22" ht="20" customHeight="1">
      <c r="B22" s="13" t="n">
        <v>2</v>
      </c>
      <c r="C22" s="13" t="inlineStr">
        <is>
          <t>LOC-158</t>
        </is>
      </c>
      <c r="D22" s="14" t="inlineStr">
        <is>
          <t>Situ Ninah (Situ Datar)</t>
        </is>
      </c>
      <c r="E22" s="14" t="inlineStr">
        <is>
          <t>Wisata Alam</t>
        </is>
      </c>
      <c r="F22" s="15">
        <f>HYPERLINK("https://images.unsplash.com/photo-1504280390367-361c6d9f38f4?w=800&amp;q=80", "Lihat Foto ↗")</f>
        <v/>
      </c>
    </row>
    <row r="23" ht="20" customHeight="1">
      <c r="B23" s="16" t="n">
        <v>2</v>
      </c>
      <c r="C23" s="16" t="inlineStr">
        <is>
          <t>LOC-163</t>
        </is>
      </c>
      <c r="D23" s="17" t="inlineStr">
        <is>
          <t>Kampung Adat Cikondang</t>
        </is>
      </c>
      <c r="E23" s="17" t="inlineStr">
        <is>
          <t>Desa Wisata</t>
        </is>
      </c>
      <c r="F23" s="18">
        <f>HYPERLINK("https://images.unsplash.com/photo-1590001155093-a3c66ab0c3ff?w=800&amp;q=80", "Lihat Foto ↗")</f>
        <v/>
      </c>
    </row>
    <row r="24" ht="20" customHeight="1">
      <c r="B24" s="13" t="n">
        <v>2</v>
      </c>
      <c r="C24" s="13" t="inlineStr">
        <is>
          <t>LOC-164</t>
        </is>
      </c>
      <c r="D24" s="14" t="inlineStr">
        <is>
          <t>Java Preanger Gunung Tilu</t>
        </is>
      </c>
      <c r="E24" s="14" t="inlineStr">
        <is>
          <t>Wisata Alam</t>
        </is>
      </c>
      <c r="F24" s="15">
        <f>HYPERLINK("https://images.unsplash.com/photo-1513836279014-a89f7a76ae86?w=800&amp;q=80", "Lihat Foto ↗")</f>
        <v/>
      </c>
    </row>
    <row r="25" ht="20" customHeight="1">
      <c r="B25" s="16" t="n">
        <v>2</v>
      </c>
      <c r="C25" s="16" t="inlineStr">
        <is>
          <t>LOC-176</t>
        </is>
      </c>
      <c r="D25" s="17" t="inlineStr">
        <is>
          <t>Padepokan Dayang Sumbi</t>
        </is>
      </c>
      <c r="E25" s="17" t="inlineStr">
        <is>
          <t>Tempat Belajar</t>
        </is>
      </c>
      <c r="F25" s="18">
        <f>HYPERLINK("https://images.unsplash.com/photo-1503676260728-1c00da094a0b?w=800&amp;q=80", "Lihat Foto ↗")</f>
        <v/>
      </c>
    </row>
    <row r="26" ht="20" customHeight="1">
      <c r="B26" s="13" t="n">
        <v>2</v>
      </c>
      <c r="C26" s="13" t="inlineStr">
        <is>
          <t>LOC-182</t>
        </is>
      </c>
      <c r="D26" s="14" t="inlineStr">
        <is>
          <t>Pine Forest Camp Lembang</t>
        </is>
      </c>
      <c r="E26" s="14" t="inlineStr">
        <is>
          <t>Tempat Camping</t>
        </is>
      </c>
      <c r="F26" s="15">
        <f>HYPERLINK("https://images.unsplash.com/photo-1478131143081-80f7f84ca84d?w=800&amp;q=80", "Lihat Foto ↗")</f>
        <v/>
      </c>
    </row>
    <row r="27" ht="20" customHeight="1">
      <c r="B27" s="16" t="n">
        <v>2</v>
      </c>
      <c r="C27" s="16" t="inlineStr">
        <is>
          <t>LOC-183</t>
        </is>
      </c>
      <c r="D27" s="17" t="inlineStr">
        <is>
          <t>Imah Seniman Lembang</t>
        </is>
      </c>
      <c r="E27" s="17" t="inlineStr">
        <is>
          <t>Penginapan Wisata</t>
        </is>
      </c>
      <c r="F27" s="18">
        <f>HYPERLINK("https://images.unsplash.com/photo-1566073771259-6a8506099945?w=800&amp;q=80", "Lihat Foto ↗")</f>
        <v/>
      </c>
    </row>
    <row r="28" ht="20" customHeight="1">
      <c r="B28" s="13" t="n">
        <v>2</v>
      </c>
      <c r="C28" s="13" t="inlineStr">
        <is>
          <t>LOC-186</t>
        </is>
      </c>
      <c r="D28" s="14" t="inlineStr">
        <is>
          <t>Indiana Camp Lembang</t>
        </is>
      </c>
      <c r="E28" s="14" t="inlineStr">
        <is>
          <t>Tempat Camping</t>
        </is>
      </c>
      <c r="F28" s="15">
        <f>HYPERLINK("https://images.unsplash.com/photo-1510312305653-8ed496efae75?w=800&amp;q=80", "Lihat Foto ↗")</f>
        <v/>
      </c>
    </row>
    <row r="29" ht="20" customHeight="1">
      <c r="B29" s="16" t="n">
        <v>2</v>
      </c>
      <c r="C29" s="16" t="inlineStr">
        <is>
          <t>LOC-187</t>
        </is>
      </c>
      <c r="D29" s="17" t="inlineStr">
        <is>
          <t>Curug Layung</t>
        </is>
      </c>
      <c r="E29" s="17" t="inlineStr">
        <is>
          <t>Wisata Alam</t>
        </is>
      </c>
      <c r="F29" s="18">
        <f>HYPERLINK("https://images.unsplash.com/photo-1432406186174-2b24f4a6fe9c?w=800&amp;q=80", "Lihat Foto ↗")</f>
        <v/>
      </c>
    </row>
    <row r="30" ht="20" customHeight="1">
      <c r="B30" s="13" t="n">
        <v>2</v>
      </c>
      <c r="C30" s="13" t="inlineStr">
        <is>
          <t>LOC-190</t>
        </is>
      </c>
      <c r="D30" s="14" t="inlineStr">
        <is>
          <t>Curug Anom</t>
        </is>
      </c>
      <c r="E30" s="14" t="inlineStr">
        <is>
          <t>Wisata Alam</t>
        </is>
      </c>
      <c r="F30" s="15">
        <f>HYPERLINK("https://images.unsplash.com/photo-1470071459604-3b5ec3a7fe05?w=800&amp;q=80", "Lihat Foto ↗")</f>
        <v/>
      </c>
    </row>
    <row r="31" ht="20" customHeight="1">
      <c r="B31" s="16" t="n">
        <v>2</v>
      </c>
      <c r="C31" s="16" t="inlineStr">
        <is>
          <t>LOC-193</t>
        </is>
      </c>
      <c r="D31" s="17" t="inlineStr">
        <is>
          <t>Sanghyang Poek</t>
        </is>
      </c>
      <c r="E31" s="17" t="inlineStr">
        <is>
          <t>Wisata Alam</t>
        </is>
      </c>
      <c r="F31" s="18">
        <f>HYPERLINK("https://images.unsplash.com/photo-1502082553048-f009c37129b9?w=800&amp;q=80", "Lihat Foto ↗")</f>
        <v/>
      </c>
    </row>
    <row r="32" ht="20" customHeight="1">
      <c r="B32" s="13" t="n">
        <v>2</v>
      </c>
      <c r="C32" s="13" t="inlineStr">
        <is>
          <t>LOC-195</t>
        </is>
      </c>
      <c r="D32" s="14" t="inlineStr">
        <is>
          <t>Sungai Cikahuripan Green Canyon Saguling</t>
        </is>
      </c>
      <c r="E32" s="14" t="inlineStr">
        <is>
          <t>Wisata Alam</t>
        </is>
      </c>
      <c r="F32" s="15">
        <f>HYPERLINK("https://images.unsplash.com/photo-1546182990-dffeafbe841d?w=800&amp;q=80", "Lihat Foto ↗")</f>
        <v/>
      </c>
    </row>
    <row r="33" ht="20" customHeight="1">
      <c r="B33" s="16" t="n">
        <v>2</v>
      </c>
      <c r="C33" s="16" t="inlineStr">
        <is>
          <t>LOC-198</t>
        </is>
      </c>
      <c r="D33" s="17" t="inlineStr">
        <is>
          <t>Tebing Gunung Hawu</t>
        </is>
      </c>
      <c r="E33" s="17" t="inlineStr">
        <is>
          <t>Wisata Alam</t>
        </is>
      </c>
      <c r="F33" s="18">
        <f>HYPERLINK("https://images.unsplash.com/photo-1464822759023-fed622ff2c3b?w=800&amp;q=80", "Lihat Foto ↗")</f>
        <v/>
      </c>
    </row>
    <row r="34" ht="20" customHeight="1">
      <c r="B34" s="13" t="n">
        <v>2</v>
      </c>
      <c r="C34" s="13" t="inlineStr">
        <is>
          <t>LOC-201</t>
        </is>
      </c>
      <c r="D34" s="14" t="inlineStr">
        <is>
          <t>Curug Batu Templek</t>
        </is>
      </c>
      <c r="E34" s="14" t="inlineStr">
        <is>
          <t>Wisata Alam</t>
        </is>
      </c>
      <c r="F34" s="15">
        <f>HYPERLINK("https://images.unsplash.com/photo-1508193638397-1c4234db14d8?w=800&amp;q=80", "Lihat Foto ↗")</f>
        <v/>
      </c>
    </row>
    <row r="35" ht="20" customHeight="1">
      <c r="B35" s="16" t="n">
        <v>2</v>
      </c>
      <c r="C35" s="16" t="inlineStr">
        <is>
          <t>LOC-213</t>
        </is>
      </c>
      <c r="D35" s="17" t="inlineStr">
        <is>
          <t>Taman Cibeunying</t>
        </is>
      </c>
      <c r="E35" s="17" t="inlineStr">
        <is>
          <t>Taman Kota</t>
        </is>
      </c>
      <c r="F35" s="18">
        <f>HYPERLINK("https://images.unsplash.com/photo-1585320806297-9794b3e4eeae?w=800&amp;q=80", "Lihat Foto ↗")</f>
        <v/>
      </c>
    </row>
    <row r="36" ht="20" customHeight="1">
      <c r="B36" s="13" t="n">
        <v>2</v>
      </c>
      <c r="C36" s="13" t="inlineStr">
        <is>
          <t>LOC-215</t>
        </is>
      </c>
      <c r="D36" s="14" t="inlineStr">
        <is>
          <t>Taman Pramuka Bandung</t>
        </is>
      </c>
      <c r="E36" s="14" t="inlineStr">
        <is>
          <t>Taman Kota</t>
        </is>
      </c>
      <c r="F36" s="15">
        <f>HYPERLINK("https://images.unsplash.com/photo-1596436889106-be35e843f974?w=800&amp;q=80", "Lihat Foto ↗")</f>
        <v/>
      </c>
    </row>
    <row r="37" ht="20" customHeight="1">
      <c r="B37" s="16" t="n">
        <v>2</v>
      </c>
      <c r="C37" s="16" t="inlineStr">
        <is>
          <t>LOC-217</t>
        </is>
      </c>
      <c r="D37" s="17" t="inlineStr">
        <is>
          <t>Karang Setra Waterland</t>
        </is>
      </c>
      <c r="E37" s="17" t="inlineStr">
        <is>
          <t>Wahana Air</t>
        </is>
      </c>
      <c r="F37" s="18">
        <f>HYPERLINK("https://images.unsplash.com/photo-1576013551627-0cc20b96c2a7?w=800&amp;q=80", "Lihat Foto ↗")</f>
        <v/>
      </c>
    </row>
    <row r="38" ht="20" customHeight="1">
      <c r="B38" s="13" t="n">
        <v>2</v>
      </c>
      <c r="C38" s="13" t="inlineStr">
        <is>
          <t>LOC-219</t>
        </is>
      </c>
      <c r="D38" s="14" t="inlineStr">
        <is>
          <t>Museum Inggit Garnasih</t>
        </is>
      </c>
      <c r="E38" s="14" t="inlineStr">
        <is>
          <t>Tempat Belajar</t>
        </is>
      </c>
      <c r="F38" s="15">
        <f>HYPERLINK("https://images.unsplash.com/photo-1580537659466-0a9bfa916a54?w=800&amp;q=80", "Lihat Foto ↗")</f>
        <v/>
      </c>
    </row>
    <row r="39" ht="20" customHeight="1">
      <c r="B39" s="16" t="n">
        <v>2</v>
      </c>
      <c r="C39" s="16" t="inlineStr">
        <is>
          <t>LOC-222</t>
        </is>
      </c>
      <c r="D39" s="17" t="inlineStr">
        <is>
          <t>Nuansa Riung Gunung</t>
        </is>
      </c>
      <c r="E39" s="17" t="inlineStr">
        <is>
          <t>Wisata Alam</t>
        </is>
      </c>
      <c r="F39" s="18">
        <f>HYPERLINK("https://images.unsplash.com/photo-1534447677768-be436bb09401?w=800&amp;q=80", "Lihat Foto ↗")</f>
        <v/>
      </c>
    </row>
    <row r="40" ht="20" customHeight="1">
      <c r="B40" s="13" t="n">
        <v>2</v>
      </c>
      <c r="C40" s="13" t="inlineStr">
        <is>
          <t>LOC-224</t>
        </is>
      </c>
      <c r="D40" s="14" t="inlineStr">
        <is>
          <t>Sungai Palayangan Rafting</t>
        </is>
      </c>
      <c r="E40" s="14" t="inlineStr">
        <is>
          <t>Wisata Petualangan</t>
        </is>
      </c>
      <c r="F40" s="15">
        <f>HYPERLINK("https://images.unsplash.com/photo-1530866495561-507c9faab2ed?w=800&amp;q=80", "Lihat Foto ↗")</f>
        <v/>
      </c>
    </row>
    <row r="41" ht="20" customHeight="1">
      <c r="B41" s="16" t="n">
        <v>2</v>
      </c>
      <c r="C41" s="16" t="inlineStr">
        <is>
          <t>LOC-225</t>
        </is>
      </c>
      <c r="D41" s="17" t="inlineStr">
        <is>
          <t>Curug Ceret Pangalengan</t>
        </is>
      </c>
      <c r="E41" s="17" t="inlineStr">
        <is>
          <t>Wisata Alam</t>
        </is>
      </c>
      <c r="F41" s="18">
        <f>HYPERLINK("https://images.unsplash.com/photo-1518495973542-4542c06a5843?w=800&amp;q=80", "Lihat Foto ↗")</f>
        <v/>
      </c>
    </row>
    <row r="42" ht="20" customHeight="1">
      <c r="B42" s="13" t="n">
        <v>2</v>
      </c>
      <c r="C42" s="13" t="inlineStr">
        <is>
          <t>LOC-226</t>
        </is>
      </c>
      <c r="D42" s="14" t="inlineStr">
        <is>
          <t>Gunung Nini Pangalengan</t>
        </is>
      </c>
      <c r="E42" s="14" t="inlineStr">
        <is>
          <t>Wisata Alam</t>
        </is>
      </c>
      <c r="F42" s="15">
        <f>HYPERLINK("https://images.unsplash.com/photo-1507525428034-b723cf961d3e?w=800&amp;q=80", "Lihat Foto ↗")</f>
        <v/>
      </c>
    </row>
    <row r="43" ht="20" customHeight="1">
      <c r="B43" s="16" t="n">
        <v>3</v>
      </c>
      <c r="C43" s="16" t="inlineStr">
        <is>
          <t>LOC-192</t>
        </is>
      </c>
      <c r="D43" s="17" t="inlineStr">
        <is>
          <t>Curug Ngebul Gununghalu</t>
        </is>
      </c>
      <c r="E43" s="17" t="inlineStr">
        <is>
          <t>Wisata Alam</t>
        </is>
      </c>
      <c r="F43" s="18">
        <f>HYPERLINK("https://images.unsplash.com/photo-1441974231531-c6227db76b6e?w=800&amp;q=80", "Lihat Foto ↗")</f>
        <v/>
      </c>
    </row>
    <row r="44" ht="20" customHeight="1">
      <c r="B44" s="13" t="n">
        <v>3</v>
      </c>
      <c r="C44" s="13" t="inlineStr">
        <is>
          <t>LOC-196</t>
        </is>
      </c>
      <c r="D44" s="14" t="inlineStr">
        <is>
          <t>Curug Walanda Citatah</t>
        </is>
      </c>
      <c r="E44" s="14" t="inlineStr">
        <is>
          <t>Wisata Alam</t>
        </is>
      </c>
      <c r="F44" s="15">
        <f>HYPERLINK("https://images.unsplash.com/photo-1472214222541-d510753a4707?w=800&amp;q=80", "Lihat Foto ↗")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2026-06-09T00:16:35Z</dcterms:created>
  <dcterms:modified xmlns:dcterms="http://purl.org/dc/terms/" xmlns:xsi="http://www.w3.org/2001/XMLSchema-instance" xsi:type="dcterms:W3CDTF">2026-06-09T00:16:35Z</dcterms:modified>
</cp:coreProperties>
</file>